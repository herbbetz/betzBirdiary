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120" yWindow="105" windowWidth="15120" windowHeight="8010"/>
  </bookViews>
  <sheets>
    <sheet name="Tabelle1" sheetId="1" r:id="rId1"/>
    <sheet name="Tabelle2" sheetId="2" r:id="rId2"/>
    <sheet name="Tabelle3" sheetId="3" r:id="rId3"/>
  </sheets>
  <calcPr calcId="125725"/>
</workbook>
</file>

<file path=xl/calcChain.xml><?xml version="1.0" encoding="utf-8"?>
<calcChain xmlns="http://schemas.openxmlformats.org/spreadsheetml/2006/main">
  <c r="G9" i="1"/>
  <c r="G10"/>
  <c r="G11"/>
  <c r="G12"/>
  <c r="G13"/>
  <c r="G14"/>
  <c r="G15"/>
  <c r="G16"/>
  <c r="G17"/>
  <c r="G18"/>
  <c r="G8"/>
  <c r="G7"/>
  <c r="G6"/>
  <c r="H6" s="1"/>
  <c r="C7" s="1"/>
  <c r="F7" s="1"/>
  <c r="H7" s="1"/>
  <c r="C8" s="1"/>
  <c r="F8" s="1"/>
  <c r="F6"/>
  <c r="H8" l="1"/>
  <c r="C9" s="1"/>
  <c r="F9" s="1"/>
  <c r="H9" s="1"/>
  <c r="C10" s="1"/>
  <c r="F10" s="1"/>
  <c r="H10" s="1"/>
  <c r="C11" s="1"/>
  <c r="F11" s="1"/>
  <c r="H11" s="1"/>
  <c r="C12" s="1"/>
  <c r="F12" s="1"/>
  <c r="H12" s="1"/>
  <c r="C13" s="1"/>
  <c r="F13" s="1"/>
  <c r="H13" s="1"/>
  <c r="C14" s="1"/>
  <c r="F14" s="1"/>
  <c r="H14" s="1"/>
  <c r="C15" s="1"/>
  <c r="F15" s="1"/>
  <c r="H15" s="1"/>
  <c r="C16" s="1"/>
  <c r="F16" s="1"/>
  <c r="H16" s="1"/>
  <c r="C17" s="1"/>
  <c r="F17" s="1"/>
  <c r="H17" s="1"/>
  <c r="C18" s="1"/>
  <c r="F18" s="1"/>
  <c r="H18" s="1"/>
</calcChain>
</file>

<file path=xl/sharedStrings.xml><?xml version="1.0" encoding="utf-8"?>
<sst xmlns="http://schemas.openxmlformats.org/spreadsheetml/2006/main" count="7" uniqueCount="7">
  <si>
    <t>baseline</t>
  </si>
  <si>
    <t>alpha</t>
  </si>
  <si>
    <t>weight</t>
  </si>
  <si>
    <t>sek</t>
  </si>
  <si>
    <t>(1-alpha)*bl</t>
  </si>
  <si>
    <t>alpha*weight</t>
  </si>
  <si>
    <t>F+G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</si>
</sst>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Standard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1"/>
  <c:lang val="de-DE"/>
  <c:chart>
    <c:plotArea>
      <c:layout/>
      <c:lineChart>
        <c:grouping val="standard"/>
        <c:marker val="1"/>
        <c:axId val="46343680"/>
        <c:axId val="46345216"/>
      </c:lineChart>
      <c:catAx>
        <c:axId val="46343680"/>
        <c:scaling>
          <c:orientation val="minMax"/>
        </c:scaling>
        <c:axPos val="b"/>
        <c:tickLblPos val="nextTo"/>
        <c:crossAx val="46345216"/>
        <c:crosses val="autoZero"/>
        <c:auto val="1"/>
        <c:lblAlgn val="ctr"/>
        <c:lblOffset val="100"/>
      </c:catAx>
      <c:valAx>
        <c:axId val="46345216"/>
        <c:scaling>
          <c:orientation val="minMax"/>
        </c:scaling>
        <c:axPos val="l"/>
        <c:majorGridlines/>
        <c:tickLblPos val="nextTo"/>
        <c:crossAx val="46343680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de-DE"/>
  <c:chart>
    <c:plotArea>
      <c:layout/>
      <c:lineChart>
        <c:grouping val="standard"/>
        <c:ser>
          <c:idx val="1"/>
          <c:order val="0"/>
          <c:marker>
            <c:symbol val="none"/>
          </c:marker>
          <c:val>
            <c:numRef>
              <c:f>Tabelle1!$C$6:$C$18</c:f>
              <c:numCache>
                <c:formatCode>General</c:formatCode>
                <c:ptCount val="13"/>
                <c:pt idx="0">
                  <c:v>0</c:v>
                </c:pt>
                <c:pt idx="1">
                  <c:v>1.5</c:v>
                </c:pt>
                <c:pt idx="2">
                  <c:v>2.5499999999999998</c:v>
                </c:pt>
                <c:pt idx="3">
                  <c:v>3.2849999999999997</c:v>
                </c:pt>
                <c:pt idx="4">
                  <c:v>3.7994999999999997</c:v>
                </c:pt>
                <c:pt idx="5">
                  <c:v>4.1596499999999992</c:v>
                </c:pt>
                <c:pt idx="6">
                  <c:v>4.4117549999999994</c:v>
                </c:pt>
                <c:pt idx="7">
                  <c:v>4.5882284999999996</c:v>
                </c:pt>
                <c:pt idx="8">
                  <c:v>4.7117599499999994</c:v>
                </c:pt>
                <c:pt idx="9">
                  <c:v>4.7982319649999994</c:v>
                </c:pt>
                <c:pt idx="10">
                  <c:v>4.8587623754999996</c:v>
                </c:pt>
                <c:pt idx="11">
                  <c:v>4.9011336628499995</c:v>
                </c:pt>
                <c:pt idx="12">
                  <c:v>4.9307935639949996</c:v>
                </c:pt>
              </c:numCache>
            </c:numRef>
          </c:val>
        </c:ser>
        <c:marker val="1"/>
        <c:axId val="112829184"/>
        <c:axId val="112830720"/>
      </c:lineChart>
      <c:catAx>
        <c:axId val="112829184"/>
        <c:scaling>
          <c:orientation val="minMax"/>
        </c:scaling>
        <c:axPos val="b"/>
        <c:tickLblPos val="nextTo"/>
        <c:crossAx val="112830720"/>
        <c:crosses val="autoZero"/>
        <c:auto val="1"/>
        <c:lblAlgn val="ctr"/>
        <c:lblOffset val="100"/>
      </c:catAx>
      <c:valAx>
        <c:axId val="112830720"/>
        <c:scaling>
          <c:orientation val="minMax"/>
        </c:scaling>
        <c:axPos val="l"/>
        <c:majorGridlines/>
        <c:numFmt formatCode="General" sourceLinked="1"/>
        <c:tickLblPos val="nextTo"/>
        <c:crossAx val="11282918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666750</xdr:colOff>
      <xdr:row>13</xdr:row>
      <xdr:rowOff>85725</xdr:rowOff>
    </xdr:from>
    <xdr:to>
      <xdr:col>14</xdr:col>
      <xdr:colOff>666750</xdr:colOff>
      <xdr:row>27</xdr:row>
      <xdr:rowOff>161925</xdr:rowOff>
    </xdr:to>
    <xdr:graphicFrame macro="">
      <xdr:nvGraphicFramePr>
        <xdr:cNvPr id="2" name="Diagramm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666750</xdr:colOff>
      <xdr:row>13</xdr:row>
      <xdr:rowOff>85725</xdr:rowOff>
    </xdr:from>
    <xdr:to>
      <xdr:col>14</xdr:col>
      <xdr:colOff>666750</xdr:colOff>
      <xdr:row>27</xdr:row>
      <xdr:rowOff>161925</xdr:rowOff>
    </xdr:to>
    <xdr:graphicFrame macro="">
      <xdr:nvGraphicFramePr>
        <xdr:cNvPr id="3" name="Diagramm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4:H18"/>
  <sheetViews>
    <sheetView tabSelected="1" workbookViewId="0">
      <selection activeCell="B20" sqref="B20"/>
    </sheetView>
  </sheetViews>
  <sheetFormatPr baseColWidth="10" defaultRowHeight="15"/>
  <cols>
    <col min="6" max="6" width="11.7109375" customWidth="1"/>
    <col min="7" max="7" width="13" customWidth="1"/>
  </cols>
  <sheetData>
    <row r="4" spans="2:8">
      <c r="B4" t="s">
        <v>3</v>
      </c>
      <c r="C4" t="s">
        <v>0</v>
      </c>
      <c r="D4" t="s">
        <v>1</v>
      </c>
      <c r="E4" t="s">
        <v>2</v>
      </c>
      <c r="F4" s="1" t="s">
        <v>4</v>
      </c>
      <c r="G4" s="1" t="s">
        <v>5</v>
      </c>
      <c r="H4" s="1" t="s">
        <v>6</v>
      </c>
    </row>
    <row r="6" spans="2:8">
      <c r="B6">
        <v>1</v>
      </c>
      <c r="C6">
        <v>0</v>
      </c>
      <c r="D6">
        <v>0.3</v>
      </c>
      <c r="E6">
        <v>5</v>
      </c>
      <c r="F6">
        <f xml:space="preserve"> (1-D6)*C6</f>
        <v>0</v>
      </c>
      <c r="G6">
        <f>D6 * E6</f>
        <v>1.5</v>
      </c>
      <c r="H6">
        <f>F6+G6</f>
        <v>1.5</v>
      </c>
    </row>
    <row r="7" spans="2:8">
      <c r="B7">
        <v>2</v>
      </c>
      <c r="C7">
        <f>H6</f>
        <v>1.5</v>
      </c>
      <c r="D7">
        <v>0.3</v>
      </c>
      <c r="E7">
        <v>5</v>
      </c>
      <c r="F7">
        <f xml:space="preserve"> (1-D7)*C7</f>
        <v>1.0499999999999998</v>
      </c>
      <c r="G7">
        <f>D7 * E7</f>
        <v>1.5</v>
      </c>
      <c r="H7">
        <f>F7+G7</f>
        <v>2.5499999999999998</v>
      </c>
    </row>
    <row r="8" spans="2:8">
      <c r="B8">
        <v>3</v>
      </c>
      <c r="C8">
        <f>H7</f>
        <v>2.5499999999999998</v>
      </c>
      <c r="D8">
        <v>0.3</v>
      </c>
      <c r="E8">
        <v>5</v>
      </c>
      <c r="F8">
        <f xml:space="preserve"> (1-D8)*C8</f>
        <v>1.7849999999999997</v>
      </c>
      <c r="G8">
        <f>D8 * E8</f>
        <v>1.5</v>
      </c>
      <c r="H8">
        <f>F8+G8</f>
        <v>3.2849999999999997</v>
      </c>
    </row>
    <row r="9" spans="2:8">
      <c r="B9">
        <v>4</v>
      </c>
      <c r="C9">
        <f>H8</f>
        <v>3.2849999999999997</v>
      </c>
      <c r="D9">
        <v>0.3</v>
      </c>
      <c r="E9">
        <v>5</v>
      </c>
      <c r="F9">
        <f t="shared" ref="F9:F18" si="0" xml:space="preserve"> (1-D9)*C9</f>
        <v>2.2994999999999997</v>
      </c>
      <c r="G9">
        <f t="shared" ref="G9:G18" si="1">D9 * E9</f>
        <v>1.5</v>
      </c>
      <c r="H9">
        <f t="shared" ref="H9:H18" si="2">F9+G9</f>
        <v>3.7994999999999997</v>
      </c>
    </row>
    <row r="10" spans="2:8">
      <c r="B10">
        <v>5</v>
      </c>
      <c r="C10">
        <f>H9</f>
        <v>3.7994999999999997</v>
      </c>
      <c r="D10">
        <v>0.3</v>
      </c>
      <c r="E10">
        <v>5</v>
      </c>
      <c r="F10">
        <f t="shared" si="0"/>
        <v>2.6596499999999996</v>
      </c>
      <c r="G10">
        <f t="shared" si="1"/>
        <v>1.5</v>
      </c>
      <c r="H10">
        <f t="shared" si="2"/>
        <v>4.1596499999999992</v>
      </c>
    </row>
    <row r="11" spans="2:8">
      <c r="B11">
        <v>6</v>
      </c>
      <c r="C11">
        <f>H10</f>
        <v>4.1596499999999992</v>
      </c>
      <c r="D11">
        <v>0.3</v>
      </c>
      <c r="E11">
        <v>5</v>
      </c>
      <c r="F11">
        <f t="shared" si="0"/>
        <v>2.9117549999999994</v>
      </c>
      <c r="G11">
        <f t="shared" si="1"/>
        <v>1.5</v>
      </c>
      <c r="H11">
        <f t="shared" si="2"/>
        <v>4.4117549999999994</v>
      </c>
    </row>
    <row r="12" spans="2:8">
      <c r="B12">
        <v>7</v>
      </c>
      <c r="C12">
        <f>H11</f>
        <v>4.4117549999999994</v>
      </c>
      <c r="D12">
        <v>0.3</v>
      </c>
      <c r="E12">
        <v>5</v>
      </c>
      <c r="F12">
        <f t="shared" si="0"/>
        <v>3.0882284999999996</v>
      </c>
      <c r="G12">
        <f t="shared" si="1"/>
        <v>1.5</v>
      </c>
      <c r="H12">
        <f t="shared" si="2"/>
        <v>4.5882284999999996</v>
      </c>
    </row>
    <row r="13" spans="2:8">
      <c r="B13">
        <v>8</v>
      </c>
      <c r="C13">
        <f>H12</f>
        <v>4.5882284999999996</v>
      </c>
      <c r="D13">
        <v>0.3</v>
      </c>
      <c r="E13">
        <v>5</v>
      </c>
      <c r="F13">
        <f t="shared" si="0"/>
        <v>3.2117599499999994</v>
      </c>
      <c r="G13">
        <f t="shared" si="1"/>
        <v>1.5</v>
      </c>
      <c r="H13">
        <f t="shared" si="2"/>
        <v>4.7117599499999994</v>
      </c>
    </row>
    <row r="14" spans="2:8">
      <c r="B14">
        <v>9</v>
      </c>
      <c r="C14">
        <f>H13</f>
        <v>4.7117599499999994</v>
      </c>
      <c r="D14">
        <v>0.3</v>
      </c>
      <c r="E14">
        <v>5</v>
      </c>
      <c r="F14">
        <f t="shared" si="0"/>
        <v>3.2982319649999994</v>
      </c>
      <c r="G14">
        <f t="shared" si="1"/>
        <v>1.5</v>
      </c>
      <c r="H14">
        <f t="shared" si="2"/>
        <v>4.7982319649999994</v>
      </c>
    </row>
    <row r="15" spans="2:8">
      <c r="B15">
        <v>10</v>
      </c>
      <c r="C15">
        <f>H14</f>
        <v>4.7982319649999994</v>
      </c>
      <c r="D15">
        <v>0.3</v>
      </c>
      <c r="E15">
        <v>5</v>
      </c>
      <c r="F15">
        <f t="shared" si="0"/>
        <v>3.3587623754999996</v>
      </c>
      <c r="G15">
        <f t="shared" si="1"/>
        <v>1.5</v>
      </c>
      <c r="H15">
        <f t="shared" si="2"/>
        <v>4.8587623754999996</v>
      </c>
    </row>
    <row r="16" spans="2:8">
      <c r="B16">
        <v>11</v>
      </c>
      <c r="C16">
        <f>H15</f>
        <v>4.8587623754999996</v>
      </c>
      <c r="D16">
        <v>0.3</v>
      </c>
      <c r="E16">
        <v>5</v>
      </c>
      <c r="F16">
        <f t="shared" si="0"/>
        <v>3.4011336628499995</v>
      </c>
      <c r="G16">
        <f t="shared" si="1"/>
        <v>1.5</v>
      </c>
      <c r="H16">
        <f t="shared" si="2"/>
        <v>4.9011336628499995</v>
      </c>
    </row>
    <row r="17" spans="2:8">
      <c r="B17">
        <v>12</v>
      </c>
      <c r="C17">
        <f>H16</f>
        <v>4.9011336628499995</v>
      </c>
      <c r="D17">
        <v>0.3</v>
      </c>
      <c r="E17">
        <v>5</v>
      </c>
      <c r="F17">
        <f t="shared" si="0"/>
        <v>3.4307935639949996</v>
      </c>
      <c r="G17">
        <f t="shared" si="1"/>
        <v>1.5</v>
      </c>
      <c r="H17">
        <f t="shared" si="2"/>
        <v>4.9307935639949996</v>
      </c>
    </row>
    <row r="18" spans="2:8">
      <c r="B18">
        <v>13</v>
      </c>
      <c r="C18">
        <f>H17</f>
        <v>4.9307935639949996</v>
      </c>
      <c r="D18">
        <v>0.3</v>
      </c>
      <c r="E18">
        <v>5</v>
      </c>
      <c r="F18">
        <f t="shared" si="0"/>
        <v>3.4515554947964997</v>
      </c>
      <c r="G18">
        <f t="shared" si="1"/>
        <v>1.5</v>
      </c>
      <c r="H18">
        <f t="shared" si="2"/>
        <v>4.9515554947964997</v>
      </c>
    </row>
  </sheetData>
  <pageMargins left="0.7" right="0.7" top="0.78740157499999996" bottom="0.78740157499999996" header="0.3" footer="0.3"/>
  <pageSetup paperSize="0" orientation="portrait" horizontalDpi="0" verticalDpi="0" copie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8740157499999996" bottom="0.78740157499999996" header="0.3" footer="0.3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8740157499999996" bottom="0.78740157499999996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Tabelle1</vt:lpstr>
      <vt:lpstr>Tabelle2</vt:lpstr>
      <vt:lpstr>Tabelle3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2006-09-21T08:52:22Z</dcterms:created>
  <dcterms:modified xsi:type="dcterms:W3CDTF">2025-12-22T19:08:31Z</dcterms:modified>
</cp:coreProperties>
</file>